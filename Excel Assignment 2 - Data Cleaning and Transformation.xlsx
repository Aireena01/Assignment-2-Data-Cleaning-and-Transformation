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ree\Downloads\"/>
    </mc:Choice>
  </mc:AlternateContent>
  <xr:revisionPtr revIDLastSave="0" documentId="13_ncr:1_{492386B2-E9CA-43DC-B255-3B78C3B93F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21" i="2" l="1"/>
  <c r="D2" i="2"/>
  <c r="E2" i="2" s="1"/>
  <c r="M29" i="2"/>
  <c r="M30" i="2"/>
  <c r="M31" i="2"/>
  <c r="M3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2" i="2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J32" i="2"/>
  <c r="J31" i="2"/>
  <c r="J30" i="2"/>
  <c r="J29" i="2"/>
  <c r="J28" i="2"/>
  <c r="J27" i="2"/>
  <c r="J26" i="2"/>
  <c r="J25" i="2"/>
  <c r="J17" i="2"/>
  <c r="J18" i="2"/>
  <c r="J19" i="2"/>
  <c r="J20" i="2"/>
  <c r="J22" i="2"/>
  <c r="J23" i="2"/>
  <c r="J2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</calcChain>
</file>

<file path=xl/sharedStrings.xml><?xml version="1.0" encoding="utf-8"?>
<sst xmlns="http://schemas.openxmlformats.org/spreadsheetml/2006/main" count="246" uniqueCount="147">
  <si>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</si>
  <si>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</si>
  <si>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</si>
  <si>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</si>
  <si>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</si>
  <si>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</si>
  <si>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</si>
  <si>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</si>
  <si>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</si>
  <si>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</si>
  <si>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</si>
  <si>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</si>
  <si>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</si>
  <si>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</si>
  <si>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</si>
  <si>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</si>
  <si>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</si>
  <si>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</si>
  <si>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</si>
  <si>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</si>
  <si>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</si>
  <si>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</si>
  <si>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</si>
  <si>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</si>
  <si>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</si>
  <si>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</si>
  <si>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</si>
  <si>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</si>
  <si>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</si>
  <si>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</si>
  <si>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</si>
  <si>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</si>
  <si>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</si>
  <si>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</si>
  <si>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</si>
  <si>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</si>
  <si>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</si>
  <si>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</si>
  <si>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</si>
  <si>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</si>
  <si>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</si>
  <si>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</si>
  <si>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</si>
  <si>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</si>
  <si>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</si>
  <si>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</si>
  <si>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</si>
  <si>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</si>
  <si>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</si>
  <si>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</si>
  <si>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</si>
  <si>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</si>
  <si>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</si>
  <si>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</si>
  <si>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</si>
  <si>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</si>
  <si>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</si>
  <si>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</si>
  <si>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</si>
  <si>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</si>
  <si>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</si>
  <si>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</si>
  <si>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</si>
  <si>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</si>
  <si>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</si>
  <si>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</si>
  <si>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</si>
  <si>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</si>
  <si>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</si>
  <si>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</si>
  <si>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</si>
  <si>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</si>
  <si>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</si>
  <si>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</si>
  <si>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</si>
  <si>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</si>
  <si>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</si>
  <si>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</si>
  <si>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</si>
  <si>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</si>
  <si>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</si>
  <si>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</si>
  <si>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</si>
  <si>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</si>
  <si>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</si>
  <si>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</si>
  <si>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</si>
  <si>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</si>
  <si>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</si>
  <si>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</si>
  <si>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</si>
  <si>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</si>
  <si>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</si>
  <si>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</si>
  <si>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</si>
  <si>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</si>
  <si>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</si>
  <si>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</si>
  <si>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</si>
  <si>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</si>
  <si>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</si>
  <si>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</si>
  <si>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</si>
  <si>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</si>
  <si>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</si>
  <si>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</si>
  <si>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</si>
  <si>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</si>
  <si>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</si>
  <si>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</si>
  <si>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</si>
  <si>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</si>
  <si>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</si>
  <si>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</si>
  <si>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</si>
  <si>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</si>
  <si>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</si>
  <si>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</si>
  <si>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</si>
  <si>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</si>
  <si>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</si>
  <si>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</si>
  <si>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</si>
  <si>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</si>
  <si>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</si>
  <si>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</si>
  <si>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</si>
  <si>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</si>
  <si>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</si>
  <si>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Brand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</si>
  <si>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</si>
  <si>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</si>
  <si>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</si>
  <si>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</si>
  <si>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</si>
  <si>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</si>
  <si>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</si>
  <si>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</si>
  <si>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</si>
  <si>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</si>
  <si>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</si>
  <si>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</si>
  <si>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Category replaced</t>
  </si>
  <si>
    <t>Price replaced</t>
  </si>
  <si>
    <t>Corrected</t>
  </si>
  <si>
    <t>Price  (Currency)</t>
  </si>
  <si>
    <t>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</si>
</sst>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FFFF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8" fillId="0" borderId="0" xfId="0" applyFont="1"/>
    <xf numFmtId="49" fontId="5" fillId="0" borderId="0" xfId="0" applyNumberFormat="1" applyFont="1"/>
    <xf numFmtId="49" fontId="5" fillId="3" borderId="0" xfId="0" applyNumberFormat="1" applyFont="1" applyFill="1"/>
    <xf numFmtId="0" fontId="10" fillId="2" borderId="0" xfId="0" applyFont="1" applyFill="1" applyAlignment="1">
      <alignment horizontal="center"/>
    </xf>
    <xf numFmtId="165" fontId="5" fillId="0" borderId="0" xfId="0" applyNumberFormat="1" applyFont="1"/>
    <xf numFmtId="165" fontId="5" fillId="3" borderId="0" xfId="0" applyNumberFormat="1" applyFont="1" applyFill="1"/>
    <xf numFmtId="0" fontId="11" fillId="0" borderId="0" xfId="0" applyFont="1"/>
    <xf numFmtId="0" fontId="9" fillId="4" borderId="0" xfId="0" applyFont="1" applyFill="1"/>
    <xf numFmtId="0" fontId="12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85" zoomScaleNormal="85" workbookViewId="0">
      <selection activeCell="F18" sqref="F1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A16" s="13"/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21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zoomScale="72" zoomScaleNormal="80" workbookViewId="0">
      <selection activeCell="O5" sqref="O5"/>
    </sheetView>
  </sheetViews>
  <sheetFormatPr defaultColWidth="12.6640625" defaultRowHeight="15" customHeight="1" x14ac:dyDescent="0.25"/>
  <cols>
    <col min="1" max="1" width="12.6640625" customWidth="1"/>
    <col min="2" max="2" width="8.109375" customWidth="1"/>
    <col min="3" max="3" width="9.77734375" customWidth="1"/>
    <col min="4" max="5" width="18.21875" customWidth="1"/>
    <col min="6" max="6" width="12.6640625" customWidth="1"/>
    <col min="7" max="7" width="13.88671875" customWidth="1"/>
    <col min="8" max="8" width="13.88671875" bestFit="1" customWidth="1"/>
    <col min="9" max="9" width="12.6640625" customWidth="1"/>
    <col min="10" max="10" width="21.44140625" bestFit="1" customWidth="1"/>
    <col min="11" max="11" width="12.6640625" customWidth="1"/>
    <col min="12" max="12" width="15.33203125" bestFit="1" customWidth="1"/>
    <col min="13" max="13" width="14.5546875" bestFit="1" customWidth="1"/>
    <col min="14" max="15" width="12.6640625" customWidth="1"/>
    <col min="16" max="16" width="18.109375" bestFit="1" customWidth="1"/>
    <col min="17" max="17" width="12.6640625" style="12"/>
  </cols>
  <sheetData>
    <row r="1" spans="1:25" ht="15.75" customHeight="1" x14ac:dyDescent="0.25">
      <c r="A1" s="7" t="s">
        <v>19</v>
      </c>
      <c r="B1" s="7"/>
      <c r="C1" s="7"/>
      <c r="D1" s="7" t="s">
        <v>115</v>
      </c>
      <c r="E1" s="16" t="s">
        <v>146</v>
      </c>
      <c r="F1" s="7" t="s">
        <v>116</v>
      </c>
      <c r="G1" s="7" t="s">
        <v>20</v>
      </c>
      <c r="H1" s="16" t="s">
        <v>144</v>
      </c>
      <c r="I1" s="7" t="s">
        <v>21</v>
      </c>
      <c r="J1" s="7" t="s">
        <v>129</v>
      </c>
      <c r="K1" s="7" t="s">
        <v>22</v>
      </c>
      <c r="L1" s="16" t="s">
        <v>145</v>
      </c>
      <c r="M1" s="7" t="s">
        <v>143</v>
      </c>
      <c r="N1" s="7" t="s">
        <v>23</v>
      </c>
      <c r="O1" s="7" t="s">
        <v>24</v>
      </c>
      <c r="P1" s="7" t="s">
        <v>142</v>
      </c>
    </row>
    <row r="2" spans="1:25" ht="15.75" customHeight="1" x14ac:dyDescent="0.25">
      <c r="A2" s="5" t="s">
        <v>25</v>
      </c>
      <c r="B2" s="11">
        <v>28</v>
      </c>
      <c r="C2" s="11" t="s">
        <v>117</v>
      </c>
      <c r="D2" s="11" t="str">
        <f>B2&amp;"-"&amp;C2</f>
        <v>28-JAN</v>
      </c>
      <c r="E2" s="11" t="str">
        <f>C2&amp;"-"&amp;D2</f>
        <v>JAN-28-JAN</v>
      </c>
      <c r="F2" s="11" t="s">
        <v>130</v>
      </c>
      <c r="G2" s="5" t="s">
        <v>26</v>
      </c>
      <c r="H2" s="14" t="s">
        <v>60</v>
      </c>
      <c r="I2" s="5" t="s">
        <v>27</v>
      </c>
      <c r="J2" s="5" t="str">
        <f>_xlfn.CONCAT(G2," ",I2)</f>
        <v>laptop Dell</v>
      </c>
      <c r="K2" s="5">
        <v>1000</v>
      </c>
      <c r="L2" s="17">
        <v>1000</v>
      </c>
      <c r="M2" s="5">
        <f>IF(ISBLANK(K2),AVERAGE(K2:K32),K2)</f>
        <v>1000</v>
      </c>
      <c r="N2" s="5">
        <v>30</v>
      </c>
      <c r="O2" s="5" t="s">
        <v>28</v>
      </c>
      <c r="P2" t="str">
        <f>IF(ISBLANK(O2),"Unknown",O2)</f>
        <v>Electronics</v>
      </c>
    </row>
    <row r="3" spans="1:25" ht="15.75" customHeight="1" x14ac:dyDescent="0.25">
      <c r="A3" s="8" t="s">
        <v>29</v>
      </c>
      <c r="B3" s="9">
        <v>15</v>
      </c>
      <c r="C3" s="9" t="s">
        <v>118</v>
      </c>
      <c r="D3" s="11" t="str">
        <f>B3&amp;"-"&amp;C3</f>
        <v>15-FEB</v>
      </c>
      <c r="E3" s="11" t="str">
        <f>C3&amp;"-"&amp;D3</f>
        <v>FEB-15-FEB</v>
      </c>
      <c r="F3" s="9" t="s">
        <v>130</v>
      </c>
      <c r="G3" s="8" t="s">
        <v>30</v>
      </c>
      <c r="H3" s="8" t="s">
        <v>30</v>
      </c>
      <c r="I3" s="8" t="s">
        <v>31</v>
      </c>
      <c r="J3" s="5" t="str">
        <f>_xlfn.CONCAT(G3," ",I3)</f>
        <v>Sneakers Nike</v>
      </c>
      <c r="K3" s="8">
        <v>80</v>
      </c>
      <c r="L3" s="18">
        <v>80</v>
      </c>
      <c r="M3" s="5">
        <f t="shared" ref="M3:M32" si="0">IF(ISBLANK(K3),AVERAGE(K3:K33),K3)</f>
        <v>80</v>
      </c>
      <c r="N3" s="8">
        <v>15</v>
      </c>
      <c r="O3" s="8" t="s">
        <v>32</v>
      </c>
      <c r="P3" t="str">
        <f t="shared" ref="P3:P32" si="1">IF(ISBLANK(O3),"Unknown",O3)</f>
        <v>Fashion</v>
      </c>
      <c r="R3" s="19"/>
      <c r="U3" s="5"/>
      <c r="V3" s="5"/>
      <c r="W3" s="5"/>
      <c r="X3" s="5"/>
      <c r="Y3" s="5"/>
    </row>
    <row r="4" spans="1:25" ht="15.75" customHeight="1" x14ac:dyDescent="0.25">
      <c r="A4" s="5" t="s">
        <v>33</v>
      </c>
      <c r="B4" s="11">
        <v>3</v>
      </c>
      <c r="C4" s="11" t="s">
        <v>119</v>
      </c>
      <c r="D4" s="11" t="str">
        <f>B4&amp;"-"&amp;C4</f>
        <v>3-MAR</v>
      </c>
      <c r="E4" s="11" t="str">
        <f>C4&amp;"-"&amp;D4</f>
        <v>MAR-3-MAR</v>
      </c>
      <c r="F4" s="11" t="s">
        <v>130</v>
      </c>
      <c r="G4" s="5" t="s">
        <v>34</v>
      </c>
      <c r="H4" s="5" t="s">
        <v>34</v>
      </c>
      <c r="I4" s="5" t="s">
        <v>35</v>
      </c>
      <c r="J4" s="5" t="str">
        <f>_xlfn.CONCAT(G4," ",I4)</f>
        <v>Coffee Maker Keurig</v>
      </c>
      <c r="K4" s="5">
        <v>130</v>
      </c>
      <c r="L4" s="17">
        <v>130</v>
      </c>
      <c r="M4" s="5">
        <f t="shared" si="0"/>
        <v>130</v>
      </c>
      <c r="N4" s="5">
        <v>40</v>
      </c>
      <c r="O4" s="5" t="s">
        <v>36</v>
      </c>
      <c r="P4" t="str">
        <f t="shared" si="1"/>
        <v>Kitchen</v>
      </c>
      <c r="R4" s="19"/>
      <c r="U4" s="5"/>
      <c r="V4" s="5"/>
      <c r="W4" s="5"/>
      <c r="X4" s="5"/>
      <c r="Y4" s="5"/>
    </row>
    <row r="5" spans="1:25" ht="15.75" customHeight="1" x14ac:dyDescent="0.3">
      <c r="A5" s="8" t="s">
        <v>37</v>
      </c>
      <c r="B5" s="9">
        <v>11</v>
      </c>
      <c r="C5" s="9" t="s">
        <v>120</v>
      </c>
      <c r="D5" s="11" t="str">
        <f>B5&amp;"-"&amp;C5</f>
        <v>11-APR</v>
      </c>
      <c r="E5" s="11" t="str">
        <f>C5&amp;"-"&amp;D5</f>
        <v>APR-11-APR</v>
      </c>
      <c r="F5" s="9" t="s">
        <v>130</v>
      </c>
      <c r="G5" s="8" t="s">
        <v>38</v>
      </c>
      <c r="H5" s="15" t="s">
        <v>95</v>
      </c>
      <c r="I5" s="8" t="s">
        <v>39</v>
      </c>
      <c r="J5" s="5" t="str">
        <f>_xlfn.CONCAT(G5," ",I5)</f>
        <v>smartphone Samsung</v>
      </c>
      <c r="K5" s="8">
        <v>900</v>
      </c>
      <c r="L5" s="18">
        <v>900</v>
      </c>
      <c r="M5" s="5">
        <f t="shared" si="0"/>
        <v>900</v>
      </c>
      <c r="N5" s="8">
        <v>25</v>
      </c>
      <c r="O5" s="8" t="s">
        <v>28</v>
      </c>
      <c r="P5" t="str">
        <f t="shared" si="1"/>
        <v>Electronics</v>
      </c>
      <c r="R5" s="5"/>
      <c r="S5" s="3"/>
      <c r="T5" s="5"/>
      <c r="U5" s="5"/>
      <c r="V5" s="5"/>
      <c r="W5" s="5"/>
      <c r="X5" s="5"/>
      <c r="Y5" s="5"/>
    </row>
    <row r="6" spans="1:25" ht="15.75" customHeight="1" x14ac:dyDescent="0.25">
      <c r="A6" s="5" t="s">
        <v>40</v>
      </c>
      <c r="B6" s="11">
        <v>22</v>
      </c>
      <c r="C6" s="11" t="s">
        <v>121</v>
      </c>
      <c r="D6" s="11" t="str">
        <f>B6&amp;"-"&amp;C6</f>
        <v>22-MAY</v>
      </c>
      <c r="E6" s="11" t="str">
        <f>C6&amp;"-"&amp;D6</f>
        <v>MAY-22-MAY</v>
      </c>
      <c r="F6" s="11" t="s">
        <v>130</v>
      </c>
      <c r="G6" s="5" t="s">
        <v>41</v>
      </c>
      <c r="H6" s="5" t="s">
        <v>41</v>
      </c>
      <c r="I6" s="5" t="s">
        <v>42</v>
      </c>
      <c r="J6" s="5" t="str">
        <f>_xlfn.CONCAT(G6," ",I6)</f>
        <v>Backpack North Face</v>
      </c>
      <c r="K6" s="5">
        <v>70</v>
      </c>
      <c r="L6" s="17">
        <v>70</v>
      </c>
      <c r="M6" s="5">
        <f t="shared" si="0"/>
        <v>70</v>
      </c>
      <c r="N6" s="5">
        <v>20</v>
      </c>
      <c r="O6" s="5"/>
      <c r="P6" t="str">
        <f t="shared" si="1"/>
        <v>Unknown</v>
      </c>
      <c r="R6" s="20"/>
    </row>
    <row r="7" spans="1:25" ht="15.75" customHeight="1" x14ac:dyDescent="0.25">
      <c r="A7" s="8" t="s">
        <v>43</v>
      </c>
      <c r="B7" s="9">
        <v>7</v>
      </c>
      <c r="C7" s="9" t="s">
        <v>122</v>
      </c>
      <c r="D7" s="11" t="str">
        <f>B7&amp;"-"&amp;C7</f>
        <v>7-JUN</v>
      </c>
      <c r="E7" s="11" t="str">
        <f>C7&amp;"-"&amp;D7</f>
        <v>JUN-7-JUN</v>
      </c>
      <c r="F7" s="9" t="s">
        <v>131</v>
      </c>
      <c r="G7" s="8" t="s">
        <v>44</v>
      </c>
      <c r="H7" s="15" t="s">
        <v>44</v>
      </c>
      <c r="I7" s="8" t="s">
        <v>45</v>
      </c>
      <c r="J7" s="5" t="str">
        <f>_xlfn.CONCAT(G7," ",I7)</f>
        <v>Headphones Sony</v>
      </c>
      <c r="K7" s="8"/>
      <c r="L7" s="18"/>
      <c r="M7" s="5">
        <f t="shared" si="0"/>
        <v>267.82608695652175</v>
      </c>
      <c r="N7" s="8">
        <v>45</v>
      </c>
      <c r="O7" s="8" t="s">
        <v>28</v>
      </c>
      <c r="P7" t="str">
        <f t="shared" si="1"/>
        <v>Electronics</v>
      </c>
      <c r="R7" s="20"/>
    </row>
    <row r="8" spans="1:25" ht="15.75" customHeight="1" x14ac:dyDescent="0.25">
      <c r="A8" s="5" t="s">
        <v>46</v>
      </c>
      <c r="B8" s="11">
        <v>19</v>
      </c>
      <c r="C8" s="11" t="s">
        <v>123</v>
      </c>
      <c r="D8" s="11" t="str">
        <f>B8&amp;"-"&amp;C8</f>
        <v>19-JUL</v>
      </c>
      <c r="E8" s="11" t="str">
        <f>C8&amp;"-"&amp;D8</f>
        <v>JUL-19-JUL</v>
      </c>
      <c r="F8" s="11" t="s">
        <v>131</v>
      </c>
      <c r="G8" s="5" t="s">
        <v>47</v>
      </c>
      <c r="H8" s="5" t="s">
        <v>47</v>
      </c>
      <c r="I8" s="5" t="s">
        <v>48</v>
      </c>
      <c r="J8" s="5" t="str">
        <f>_xlfn.CONCAT(G8," ",I8)</f>
        <v>T-shirt Adidas</v>
      </c>
      <c r="K8" s="5">
        <v>30</v>
      </c>
      <c r="L8" s="17">
        <v>30</v>
      </c>
      <c r="M8" s="5">
        <f t="shared" si="0"/>
        <v>30</v>
      </c>
      <c r="N8" s="5">
        <v>5</v>
      </c>
      <c r="O8" s="5" t="s">
        <v>32</v>
      </c>
      <c r="P8" t="str">
        <f t="shared" si="1"/>
        <v>Fashion</v>
      </c>
      <c r="R8" s="20"/>
    </row>
    <row r="9" spans="1:25" ht="15.75" customHeight="1" x14ac:dyDescent="0.25">
      <c r="A9" s="8" t="s">
        <v>49</v>
      </c>
      <c r="B9" s="9">
        <v>23</v>
      </c>
      <c r="C9" s="9" t="s">
        <v>124</v>
      </c>
      <c r="D9" s="11" t="str">
        <f>B9&amp;"-"&amp;C9</f>
        <v>23-AUG</v>
      </c>
      <c r="E9" s="11" t="str">
        <f>C9&amp;"-"&amp;D9</f>
        <v>AUG-23-AUG</v>
      </c>
      <c r="F9" s="9" t="s">
        <v>131</v>
      </c>
      <c r="G9" s="8" t="s">
        <v>50</v>
      </c>
      <c r="H9" s="8" t="s">
        <v>50</v>
      </c>
      <c r="I9" s="8" t="s">
        <v>51</v>
      </c>
      <c r="J9" s="5" t="str">
        <f>_xlfn.CONCAT(G9," ",I9)</f>
        <v>Blender Ninja</v>
      </c>
      <c r="K9" s="8">
        <v>90</v>
      </c>
      <c r="L9" s="18">
        <v>90</v>
      </c>
      <c r="M9" s="5">
        <f t="shared" si="0"/>
        <v>90</v>
      </c>
      <c r="N9" s="8">
        <v>35</v>
      </c>
      <c r="O9" s="8" t="s">
        <v>36</v>
      </c>
      <c r="P9" t="str">
        <f t="shared" si="1"/>
        <v>Kitchen</v>
      </c>
      <c r="R9" s="10"/>
    </row>
    <row r="10" spans="1:25" ht="15.75" customHeight="1" x14ac:dyDescent="0.25">
      <c r="A10" s="5" t="s">
        <v>52</v>
      </c>
      <c r="B10" s="11">
        <v>5</v>
      </c>
      <c r="C10" s="11" t="s">
        <v>125</v>
      </c>
      <c r="D10" s="11" t="str">
        <f>B10&amp;"-"&amp;C10</f>
        <v>5-SEP</v>
      </c>
      <c r="E10" s="11" t="str">
        <f>C10&amp;"-"&amp;D10</f>
        <v>SEP-5-SEP</v>
      </c>
      <c r="F10" s="11" t="s">
        <v>131</v>
      </c>
      <c r="G10" s="5" t="s">
        <v>53</v>
      </c>
      <c r="H10" s="5" t="s">
        <v>53</v>
      </c>
      <c r="I10" s="5" t="s">
        <v>54</v>
      </c>
      <c r="J10" s="5" t="str">
        <f>_xlfn.CONCAT(G10," ",I10)</f>
        <v>Tablet Apple</v>
      </c>
      <c r="K10" s="5">
        <v>500</v>
      </c>
      <c r="L10" s="17">
        <v>500</v>
      </c>
      <c r="M10" s="5">
        <f t="shared" si="0"/>
        <v>500</v>
      </c>
      <c r="N10" s="5">
        <v>50</v>
      </c>
      <c r="O10" s="5" t="s">
        <v>28</v>
      </c>
      <c r="P10" t="str">
        <f t="shared" si="1"/>
        <v>Electronics</v>
      </c>
      <c r="R10" s="10"/>
    </row>
    <row r="11" spans="1:25" ht="15.75" customHeight="1" x14ac:dyDescent="0.25">
      <c r="A11" s="8" t="s">
        <v>55</v>
      </c>
      <c r="B11" s="9">
        <v>14</v>
      </c>
      <c r="C11" s="9" t="s">
        <v>126</v>
      </c>
      <c r="D11" s="11" t="str">
        <f>B11&amp;"-"&amp;C11</f>
        <v>14-OCT</v>
      </c>
      <c r="E11" s="11" t="str">
        <f>C11&amp;"-"&amp;D11</f>
        <v>OCT-14-OCT</v>
      </c>
      <c r="F11" s="9" t="s">
        <v>131</v>
      </c>
      <c r="G11" s="8" t="s">
        <v>56</v>
      </c>
      <c r="H11" s="8" t="s">
        <v>56</v>
      </c>
      <c r="I11" s="8" t="s">
        <v>57</v>
      </c>
      <c r="J11" s="5" t="str">
        <f>_xlfn.CONCAT(G11," ",I11)</f>
        <v>Hiking Boots Timberland</v>
      </c>
      <c r="K11" s="8">
        <v>130</v>
      </c>
      <c r="L11" s="18">
        <v>130</v>
      </c>
      <c r="M11" s="5">
        <f t="shared" si="0"/>
        <v>130</v>
      </c>
      <c r="N11" s="8">
        <v>10</v>
      </c>
      <c r="O11" s="8" t="s">
        <v>58</v>
      </c>
      <c r="P11" t="str">
        <f t="shared" si="1"/>
        <v>Outdoor</v>
      </c>
      <c r="R11" s="10"/>
    </row>
    <row r="12" spans="1:25" ht="15.75" customHeight="1" x14ac:dyDescent="0.25">
      <c r="A12" s="5" t="s">
        <v>59</v>
      </c>
      <c r="B12" s="11">
        <v>17</v>
      </c>
      <c r="C12" s="11" t="s">
        <v>122</v>
      </c>
      <c r="D12" s="11" t="str">
        <f>B12&amp;"-"&amp;C12</f>
        <v>17-JUN</v>
      </c>
      <c r="E12" s="11" t="str">
        <f>C12&amp;"-"&amp;D12</f>
        <v>JUN-17-JUN</v>
      </c>
      <c r="F12" s="11" t="s">
        <v>132</v>
      </c>
      <c r="G12" s="5" t="s">
        <v>60</v>
      </c>
      <c r="H12" s="14" t="s">
        <v>60</v>
      </c>
      <c r="I12" s="5" t="s">
        <v>61</v>
      </c>
      <c r="J12" s="5" t="str">
        <f>_xlfn.CONCAT(G12," ",I12)</f>
        <v>Laptop HP</v>
      </c>
      <c r="K12" s="5">
        <v>950</v>
      </c>
      <c r="L12" s="17">
        <v>950</v>
      </c>
      <c r="M12" s="5">
        <f t="shared" si="0"/>
        <v>950</v>
      </c>
      <c r="N12" s="5">
        <v>25</v>
      </c>
      <c r="O12" s="5" t="s">
        <v>28</v>
      </c>
      <c r="P12" t="str">
        <f t="shared" si="1"/>
        <v>Electronics</v>
      </c>
    </row>
    <row r="13" spans="1:25" ht="15.75" customHeight="1" x14ac:dyDescent="0.25">
      <c r="A13" s="8" t="s">
        <v>62</v>
      </c>
      <c r="B13" s="9">
        <v>25</v>
      </c>
      <c r="C13" s="9" t="s">
        <v>127</v>
      </c>
      <c r="D13" s="11" t="str">
        <f>B13&amp;"-"&amp;C13</f>
        <v>25-NOV</v>
      </c>
      <c r="E13" s="11" t="str">
        <f>C13&amp;"-"&amp;D13</f>
        <v>NOV-25-NOV</v>
      </c>
      <c r="F13" s="9" t="s">
        <v>133</v>
      </c>
      <c r="G13" s="8" t="s">
        <v>30</v>
      </c>
      <c r="H13" s="8" t="s">
        <v>30</v>
      </c>
      <c r="I13" s="8" t="s">
        <v>48</v>
      </c>
      <c r="J13" s="5" t="str">
        <f>_xlfn.CONCAT(G13," ",I13)</f>
        <v>Sneakers Adidas</v>
      </c>
      <c r="K13" s="8">
        <v>90</v>
      </c>
      <c r="L13" s="18">
        <v>90</v>
      </c>
      <c r="M13" s="5">
        <f t="shared" si="0"/>
        <v>90</v>
      </c>
      <c r="N13" s="8">
        <v>40</v>
      </c>
      <c r="O13" s="8"/>
      <c r="P13" t="str">
        <f t="shared" si="1"/>
        <v>Unknown</v>
      </c>
    </row>
    <row r="14" spans="1:25" ht="15.75" customHeight="1" x14ac:dyDescent="0.25">
      <c r="A14" s="5" t="s">
        <v>63</v>
      </c>
      <c r="B14" s="11">
        <v>8</v>
      </c>
      <c r="C14" s="11" t="s">
        <v>128</v>
      </c>
      <c r="D14" s="11" t="str">
        <f>B14&amp;"-"&amp;C14</f>
        <v>8-DEC</v>
      </c>
      <c r="E14" s="11" t="str">
        <f>C14&amp;"-"&amp;D14</f>
        <v>DEC-8-DEC</v>
      </c>
      <c r="F14" s="11" t="s">
        <v>134</v>
      </c>
      <c r="G14" s="5" t="s">
        <v>34</v>
      </c>
      <c r="H14" s="5" t="s">
        <v>34</v>
      </c>
      <c r="I14" s="5" t="s">
        <v>64</v>
      </c>
      <c r="J14" s="5" t="str">
        <f>_xlfn.CONCAT(G14," ",I14)</f>
        <v>Coffee Maker Nespresso</v>
      </c>
      <c r="K14" s="5">
        <v>120</v>
      </c>
      <c r="L14" s="17">
        <v>120</v>
      </c>
      <c r="M14" s="5">
        <f t="shared" si="0"/>
        <v>120</v>
      </c>
      <c r="N14" s="5">
        <v>35</v>
      </c>
      <c r="O14" s="5"/>
      <c r="P14" t="str">
        <f t="shared" si="1"/>
        <v>Unknown</v>
      </c>
    </row>
    <row r="15" spans="1:25" ht="15.75" customHeight="1" x14ac:dyDescent="0.25">
      <c r="A15" s="8" t="s">
        <v>65</v>
      </c>
      <c r="B15" s="9">
        <v>18</v>
      </c>
      <c r="C15" s="9" t="s">
        <v>118</v>
      </c>
      <c r="D15" s="11" t="str">
        <f>B15&amp;"-"&amp;C15</f>
        <v>18-FEB</v>
      </c>
      <c r="E15" s="11" t="str">
        <f>C15&amp;"-"&amp;D15</f>
        <v>FEB-18-FEB</v>
      </c>
      <c r="F15" s="9" t="s">
        <v>135</v>
      </c>
      <c r="G15" s="8" t="s">
        <v>66</v>
      </c>
      <c r="H15" s="8" t="s">
        <v>66</v>
      </c>
      <c r="I15" s="8" t="s">
        <v>67</v>
      </c>
      <c r="J15" s="5" t="str">
        <f>_xlfn.CONCAT(G15," ",I15)</f>
        <v>Smartwatch Fitbit</v>
      </c>
      <c r="K15" s="8">
        <v>150</v>
      </c>
      <c r="L15" s="18">
        <v>150</v>
      </c>
      <c r="M15" s="5">
        <f t="shared" si="0"/>
        <v>150</v>
      </c>
      <c r="N15" s="8">
        <v>15</v>
      </c>
      <c r="O15" s="8" t="s">
        <v>28</v>
      </c>
      <c r="P15" t="str">
        <f t="shared" si="1"/>
        <v>Electronics</v>
      </c>
    </row>
    <row r="16" spans="1:25" ht="15.75" customHeight="1" x14ac:dyDescent="0.25">
      <c r="A16" s="5" t="s">
        <v>68</v>
      </c>
      <c r="B16" s="11">
        <v>16</v>
      </c>
      <c r="C16" s="11" t="s">
        <v>120</v>
      </c>
      <c r="D16" s="11" t="str">
        <f>B16&amp;"-"&amp;C16</f>
        <v>16-APR</v>
      </c>
      <c r="E16" s="11" t="str">
        <f>C16&amp;"-"&amp;D16</f>
        <v>APR-16-APR</v>
      </c>
      <c r="F16" s="11" t="s">
        <v>136</v>
      </c>
      <c r="G16" s="5" t="s">
        <v>69</v>
      </c>
      <c r="H16" s="14" t="s">
        <v>44</v>
      </c>
      <c r="I16" s="5" t="s">
        <v>70</v>
      </c>
      <c r="J16" s="5" t="str">
        <f>_xlfn.CONCAT(G16," ",I16)</f>
        <v>headphones Bose</v>
      </c>
      <c r="K16" s="5">
        <v>250</v>
      </c>
      <c r="L16" s="17">
        <v>250</v>
      </c>
      <c r="M16" s="5">
        <f t="shared" si="0"/>
        <v>250</v>
      </c>
      <c r="N16" s="5">
        <v>20</v>
      </c>
      <c r="O16" s="5" t="s">
        <v>28</v>
      </c>
      <c r="P16" t="str">
        <f t="shared" si="1"/>
        <v>Electronics</v>
      </c>
    </row>
    <row r="17" spans="1:16" ht="15.75" customHeight="1" x14ac:dyDescent="0.25">
      <c r="A17" s="8" t="s">
        <v>71</v>
      </c>
      <c r="B17" s="9">
        <v>21</v>
      </c>
      <c r="C17" s="9" t="s">
        <v>124</v>
      </c>
      <c r="D17" s="11" t="str">
        <f>B17&amp;"-"&amp;C17</f>
        <v>21-AUG</v>
      </c>
      <c r="E17" s="11" t="str">
        <f>C17&amp;"-"&amp;D17</f>
        <v>AUG-21-AUG</v>
      </c>
      <c r="F17" s="9" t="s">
        <v>135</v>
      </c>
      <c r="G17" s="8" t="s">
        <v>72</v>
      </c>
      <c r="H17" s="15" t="s">
        <v>72</v>
      </c>
      <c r="I17" s="8" t="s">
        <v>73</v>
      </c>
      <c r="J17" s="5" t="str">
        <f>_xlfn.CONCAT(G17," ",I17)</f>
        <v>Laptop Bag Samsonite</v>
      </c>
      <c r="K17" s="8">
        <v>50</v>
      </c>
      <c r="L17" s="18">
        <v>50</v>
      </c>
      <c r="M17" s="5">
        <f t="shared" si="0"/>
        <v>50</v>
      </c>
      <c r="N17" s="8">
        <v>35</v>
      </c>
      <c r="O17" s="8" t="s">
        <v>74</v>
      </c>
      <c r="P17" t="str">
        <f t="shared" si="1"/>
        <v>Accessories</v>
      </c>
    </row>
    <row r="18" spans="1:16" ht="15.75" customHeight="1" x14ac:dyDescent="0.25">
      <c r="A18" s="5" t="s">
        <v>75</v>
      </c>
      <c r="B18" s="11">
        <v>20</v>
      </c>
      <c r="C18" s="11" t="s">
        <v>124</v>
      </c>
      <c r="D18" s="11" t="str">
        <f>B18&amp;"-"&amp;C18</f>
        <v>20-AUG</v>
      </c>
      <c r="E18" s="11" t="str">
        <f>C18&amp;"-"&amp;D18</f>
        <v>AUG-20-AUG</v>
      </c>
      <c r="F18" s="11" t="s">
        <v>137</v>
      </c>
      <c r="G18" s="5" t="s">
        <v>66</v>
      </c>
      <c r="H18" s="5" t="s">
        <v>66</v>
      </c>
      <c r="I18" s="5" t="s">
        <v>76</v>
      </c>
      <c r="J18" s="5" t="str">
        <f>_xlfn.CONCAT(G18," ",I18)</f>
        <v>Smartwatch Huawei</v>
      </c>
      <c r="K18" s="5">
        <v>160</v>
      </c>
      <c r="L18" s="17">
        <v>160</v>
      </c>
      <c r="M18" s="5">
        <f t="shared" si="0"/>
        <v>160</v>
      </c>
      <c r="N18" s="5">
        <v>15</v>
      </c>
      <c r="O18" s="5" t="s">
        <v>28</v>
      </c>
      <c r="P18" t="str">
        <f t="shared" si="1"/>
        <v>Electronics</v>
      </c>
    </row>
    <row r="19" spans="1:16" ht="15.75" customHeight="1" x14ac:dyDescent="0.25">
      <c r="A19" s="8" t="s">
        <v>77</v>
      </c>
      <c r="B19" s="9">
        <v>27</v>
      </c>
      <c r="C19" s="9" t="s">
        <v>117</v>
      </c>
      <c r="D19" s="11" t="str">
        <f>B19&amp;"-"&amp;C19</f>
        <v>27-JAN</v>
      </c>
      <c r="E19" s="11" t="str">
        <f>C19&amp;"-"&amp;D19</f>
        <v>JAN-27-JAN</v>
      </c>
      <c r="F19" s="9" t="s">
        <v>138</v>
      </c>
      <c r="G19" s="8" t="s">
        <v>26</v>
      </c>
      <c r="H19" s="15" t="s">
        <v>60</v>
      </c>
      <c r="I19" s="8" t="s">
        <v>78</v>
      </c>
      <c r="J19" s="5" t="str">
        <f>_xlfn.CONCAT(G19," ",I19)</f>
        <v>laptop Asus</v>
      </c>
      <c r="K19" s="8">
        <v>980</v>
      </c>
      <c r="L19" s="18">
        <v>980</v>
      </c>
      <c r="M19" s="5">
        <f t="shared" si="0"/>
        <v>980</v>
      </c>
      <c r="N19" s="8">
        <v>10</v>
      </c>
      <c r="O19" s="8" t="s">
        <v>28</v>
      </c>
      <c r="P19" t="str">
        <f t="shared" si="1"/>
        <v>Electronics</v>
      </c>
    </row>
    <row r="20" spans="1:16" ht="15.75" customHeight="1" x14ac:dyDescent="0.25">
      <c r="A20" s="5" t="s">
        <v>79</v>
      </c>
      <c r="B20" s="11">
        <v>1</v>
      </c>
      <c r="C20" s="11" t="s">
        <v>119</v>
      </c>
      <c r="D20" s="11" t="str">
        <f>B20&amp;"-"&amp;C20</f>
        <v>1-MAR</v>
      </c>
      <c r="E20" s="11" t="str">
        <f>C20&amp;"-"&amp;D20</f>
        <v>MAR-1-MAR</v>
      </c>
      <c r="F20" s="11" t="s">
        <v>131</v>
      </c>
      <c r="G20" s="5" t="s">
        <v>80</v>
      </c>
      <c r="H20" s="5" t="s">
        <v>80</v>
      </c>
      <c r="I20" s="5" t="s">
        <v>81</v>
      </c>
      <c r="J20" s="5" t="str">
        <f>_xlfn.CONCAT(G20," ",I20)</f>
        <v>Sunglasses Oakley</v>
      </c>
      <c r="K20" s="5">
        <v>150</v>
      </c>
      <c r="L20" s="17">
        <v>150</v>
      </c>
      <c r="M20" s="5">
        <f t="shared" si="0"/>
        <v>150</v>
      </c>
      <c r="N20" s="5">
        <v>15</v>
      </c>
      <c r="O20" s="5" t="s">
        <v>32</v>
      </c>
      <c r="P20" t="str">
        <f t="shared" si="1"/>
        <v>Fashion</v>
      </c>
    </row>
    <row r="21" spans="1:16" ht="15.75" customHeight="1" x14ac:dyDescent="0.25">
      <c r="A21" s="8" t="s">
        <v>82</v>
      </c>
      <c r="B21" s="9">
        <v>14</v>
      </c>
      <c r="C21" s="9" t="s">
        <v>124</v>
      </c>
      <c r="D21" s="11" t="str">
        <f>B21&amp;"-"&amp;C21</f>
        <v>14-AUG</v>
      </c>
      <c r="E21" s="11" t="str">
        <f>C21&amp;"-"&amp;D21</f>
        <v>AUG-14-AUG</v>
      </c>
      <c r="F21" s="9" t="s">
        <v>130</v>
      </c>
      <c r="G21" s="8" t="s">
        <v>83</v>
      </c>
      <c r="H21" s="8" t="s">
        <v>83</v>
      </c>
      <c r="I21" s="8" t="s">
        <v>84</v>
      </c>
      <c r="J21" s="5" t="str">
        <f>_xlfn.CONCAT(G21," ",I21)</f>
        <v>Camping Tent Coleman</v>
      </c>
      <c r="K21" s="8"/>
      <c r="L21" s="18"/>
      <c r="M21" s="5">
        <f t="shared" si="0"/>
        <v>251</v>
      </c>
      <c r="N21" s="8">
        <v>10</v>
      </c>
      <c r="O21" s="8" t="s">
        <v>58</v>
      </c>
      <c r="P21" t="str">
        <f t="shared" si="1"/>
        <v>Outdoor</v>
      </c>
    </row>
    <row r="22" spans="1:16" ht="15.75" customHeight="1" x14ac:dyDescent="0.25">
      <c r="A22" s="5" t="s">
        <v>85</v>
      </c>
      <c r="B22" s="11">
        <v>14</v>
      </c>
      <c r="C22" s="11" t="s">
        <v>121</v>
      </c>
      <c r="D22" s="11" t="str">
        <f>B22&amp;"-"&amp;C22</f>
        <v>14-MAY</v>
      </c>
      <c r="E22" s="11" t="str">
        <f>C22&amp;"-"&amp;D22</f>
        <v>MAY-14-MAY</v>
      </c>
      <c r="F22" s="11" t="s">
        <v>139</v>
      </c>
      <c r="G22" s="5" t="s">
        <v>86</v>
      </c>
      <c r="H22" s="5" t="s">
        <v>86</v>
      </c>
      <c r="I22" s="5" t="s">
        <v>87</v>
      </c>
      <c r="J22" s="5" t="str">
        <f>_xlfn.CONCAT(G22," ",I22)</f>
        <v>Camera Nikon</v>
      </c>
      <c r="K22" s="5">
        <v>700</v>
      </c>
      <c r="L22" s="17">
        <v>700</v>
      </c>
      <c r="M22" s="5">
        <f t="shared" si="0"/>
        <v>700</v>
      </c>
      <c r="N22" s="5">
        <v>50</v>
      </c>
      <c r="O22" s="5" t="s">
        <v>28</v>
      </c>
      <c r="P22" t="str">
        <f t="shared" si="1"/>
        <v>Electronics</v>
      </c>
    </row>
    <row r="23" spans="1:16" ht="15.75" customHeight="1" x14ac:dyDescent="0.25">
      <c r="A23" s="8" t="s">
        <v>88</v>
      </c>
      <c r="B23" s="9">
        <v>9</v>
      </c>
      <c r="C23" s="9" t="s">
        <v>117</v>
      </c>
      <c r="D23" s="11" t="str">
        <f>B23&amp;"-"&amp;C23</f>
        <v>9-JAN</v>
      </c>
      <c r="E23" s="11" t="str">
        <f>C23&amp;"-"&amp;D23</f>
        <v>JAN-9-JAN</v>
      </c>
      <c r="F23" s="9" t="s">
        <v>135</v>
      </c>
      <c r="G23" s="8" t="s">
        <v>89</v>
      </c>
      <c r="H23" s="8" t="s">
        <v>89</v>
      </c>
      <c r="I23" s="8" t="s">
        <v>90</v>
      </c>
      <c r="J23" s="5" t="str">
        <f>_xlfn.CONCAT(G23," ",I23)</f>
        <v>Microwave Panasonic</v>
      </c>
      <c r="K23" s="8">
        <v>80</v>
      </c>
      <c r="L23" s="18">
        <v>80</v>
      </c>
      <c r="M23" s="5">
        <f t="shared" si="0"/>
        <v>80</v>
      </c>
      <c r="N23" s="8">
        <v>20</v>
      </c>
      <c r="O23" s="8" t="s">
        <v>36</v>
      </c>
      <c r="P23" t="str">
        <f t="shared" si="1"/>
        <v>Kitchen</v>
      </c>
    </row>
    <row r="24" spans="1:16" ht="15.75" customHeight="1" x14ac:dyDescent="0.25">
      <c r="A24" s="5" t="s">
        <v>91</v>
      </c>
      <c r="B24" s="11">
        <v>19</v>
      </c>
      <c r="C24" s="11" t="s">
        <v>123</v>
      </c>
      <c r="D24" s="11" t="str">
        <f>B24&amp;"-"&amp;C24</f>
        <v>19-JUL</v>
      </c>
      <c r="E24" s="11" t="str">
        <f>C24&amp;"-"&amp;D24</f>
        <v>JUL-19-JUL</v>
      </c>
      <c r="F24" s="11" t="s">
        <v>140</v>
      </c>
      <c r="G24" s="5" t="s">
        <v>92</v>
      </c>
      <c r="H24" s="5" t="s">
        <v>92</v>
      </c>
      <c r="I24" s="5" t="s">
        <v>93</v>
      </c>
      <c r="J24" s="5" t="str">
        <f>_xlfn.CONCAT(G24," ",I24)</f>
        <v>Fitness Tracker Xiaomi</v>
      </c>
      <c r="K24" s="5">
        <v>150</v>
      </c>
      <c r="L24" s="17">
        <v>150</v>
      </c>
      <c r="M24" s="5">
        <f t="shared" si="0"/>
        <v>150</v>
      </c>
      <c r="N24" s="5">
        <v>30</v>
      </c>
      <c r="O24" s="5"/>
      <c r="P24" t="str">
        <f t="shared" si="1"/>
        <v>Unknown</v>
      </c>
    </row>
    <row r="25" spans="1:16" ht="15.75" customHeight="1" x14ac:dyDescent="0.25">
      <c r="A25" s="5" t="s">
        <v>94</v>
      </c>
      <c r="B25" s="11">
        <v>29</v>
      </c>
      <c r="C25" s="11" t="s">
        <v>125</v>
      </c>
      <c r="D25" s="11" t="str">
        <f>B25&amp;"-"&amp;C25</f>
        <v>29-SEP</v>
      </c>
      <c r="E25" s="11" t="str">
        <f>C25&amp;"-"&amp;D25</f>
        <v>SEP-29-SEP</v>
      </c>
      <c r="F25" s="11" t="s">
        <v>135</v>
      </c>
      <c r="G25" s="5" t="s">
        <v>95</v>
      </c>
      <c r="H25" s="14" t="s">
        <v>95</v>
      </c>
      <c r="I25" s="5" t="s">
        <v>96</v>
      </c>
      <c r="J25" s="5" t="str">
        <f>_xlfn.CONCAT(G25," ",I25)</f>
        <v>Smartphone Google</v>
      </c>
      <c r="K25" s="5">
        <v>800</v>
      </c>
      <c r="L25" s="17">
        <v>800</v>
      </c>
      <c r="M25" s="5">
        <f t="shared" si="0"/>
        <v>800</v>
      </c>
      <c r="N25" s="5">
        <v>45</v>
      </c>
      <c r="O25" s="5" t="s">
        <v>28</v>
      </c>
      <c r="P25" t="str">
        <f t="shared" si="1"/>
        <v>Electronics</v>
      </c>
    </row>
    <row r="26" spans="1:16" ht="15.75" customHeight="1" x14ac:dyDescent="0.25">
      <c r="A26" s="8" t="s">
        <v>97</v>
      </c>
      <c r="B26" s="9">
        <v>3</v>
      </c>
      <c r="C26" s="9" t="s">
        <v>122</v>
      </c>
      <c r="D26" s="11" t="str">
        <f>B26&amp;"-"&amp;C26</f>
        <v>3-JUN</v>
      </c>
      <c r="E26" s="11" t="str">
        <f>C26&amp;"-"&amp;D26</f>
        <v>JUN-3-JUN</v>
      </c>
      <c r="F26" s="9" t="s">
        <v>135</v>
      </c>
      <c r="G26" s="8" t="s">
        <v>80</v>
      </c>
      <c r="H26" s="8" t="s">
        <v>80</v>
      </c>
      <c r="I26" s="8" t="s">
        <v>98</v>
      </c>
      <c r="J26" s="5" t="str">
        <f>_xlfn.CONCAT(G26," ",I26)</f>
        <v>Sunglasses Ray-Ban</v>
      </c>
      <c r="K26" s="8"/>
      <c r="L26" s="18"/>
      <c r="M26" s="5">
        <f t="shared" si="0"/>
        <v>130</v>
      </c>
      <c r="N26" s="8">
        <v>25</v>
      </c>
      <c r="O26" s="8" t="s">
        <v>32</v>
      </c>
      <c r="P26" t="str">
        <f t="shared" si="1"/>
        <v>Fashion</v>
      </c>
    </row>
    <row r="27" spans="1:16" ht="15.75" customHeight="1" x14ac:dyDescent="0.25">
      <c r="A27" s="5" t="s">
        <v>99</v>
      </c>
      <c r="B27" s="11">
        <v>11</v>
      </c>
      <c r="C27" s="11" t="s">
        <v>123</v>
      </c>
      <c r="D27" s="11" t="str">
        <f>B27&amp;"-"&amp;C27</f>
        <v>11-JUL</v>
      </c>
      <c r="E27" s="11" t="str">
        <f>C27&amp;"-"&amp;D27</f>
        <v>JUL-11-JUL</v>
      </c>
      <c r="F27" s="11" t="s">
        <v>135</v>
      </c>
      <c r="G27" s="5" t="s">
        <v>50</v>
      </c>
      <c r="H27" s="5" t="s">
        <v>50</v>
      </c>
      <c r="I27" s="5" t="s">
        <v>100</v>
      </c>
      <c r="J27" s="5" t="str">
        <f>_xlfn.CONCAT(G27," ",I27)</f>
        <v>Blender Vitamix</v>
      </c>
      <c r="K27" s="5">
        <v>400</v>
      </c>
      <c r="L27" s="17">
        <v>400</v>
      </c>
      <c r="M27" s="5">
        <f t="shared" si="0"/>
        <v>400</v>
      </c>
      <c r="N27" s="5">
        <v>40</v>
      </c>
      <c r="O27" s="5" t="s">
        <v>36</v>
      </c>
      <c r="P27" t="str">
        <f t="shared" si="1"/>
        <v>Kitchen</v>
      </c>
    </row>
    <row r="28" spans="1:16" ht="15.75" customHeight="1" x14ac:dyDescent="0.25">
      <c r="A28" s="5" t="s">
        <v>101</v>
      </c>
      <c r="B28" s="11">
        <v>7</v>
      </c>
      <c r="C28" s="11" t="s">
        <v>119</v>
      </c>
      <c r="D28" s="11" t="str">
        <f>B28&amp;"-"&amp;C28</f>
        <v>7-MAR</v>
      </c>
      <c r="E28" s="11" t="str">
        <f>C28&amp;"-"&amp;D28</f>
        <v>MAR-7-MAR</v>
      </c>
      <c r="F28" s="11" t="s">
        <v>135</v>
      </c>
      <c r="G28" s="5" t="s">
        <v>102</v>
      </c>
      <c r="H28" s="5" t="s">
        <v>102</v>
      </c>
      <c r="I28" s="5" t="s">
        <v>103</v>
      </c>
      <c r="J28" s="5" t="str">
        <f>_xlfn.CONCAT(G28," ",I28)</f>
        <v>Dress Zara</v>
      </c>
      <c r="K28" s="5">
        <v>60</v>
      </c>
      <c r="L28" s="17">
        <v>60</v>
      </c>
      <c r="M28" s="5">
        <f t="shared" si="0"/>
        <v>60</v>
      </c>
      <c r="N28" s="5">
        <v>30</v>
      </c>
      <c r="O28" s="5" t="s">
        <v>32</v>
      </c>
      <c r="P28" t="str">
        <f t="shared" si="1"/>
        <v>Fashion</v>
      </c>
    </row>
    <row r="29" spans="1:16" ht="15.75" customHeight="1" x14ac:dyDescent="0.25">
      <c r="A29" s="8" t="s">
        <v>104</v>
      </c>
      <c r="B29" s="9">
        <v>13</v>
      </c>
      <c r="C29" s="9" t="s">
        <v>120</v>
      </c>
      <c r="D29" s="11" t="str">
        <f>B29&amp;"-"&amp;C29</f>
        <v>13-APR</v>
      </c>
      <c r="E29" s="11" t="str">
        <f>C29&amp;"-"&amp;D29</f>
        <v>APR-13-APR</v>
      </c>
      <c r="F29" s="9" t="s">
        <v>135</v>
      </c>
      <c r="G29" s="8" t="s">
        <v>105</v>
      </c>
      <c r="H29" s="8" t="s">
        <v>105</v>
      </c>
      <c r="I29" s="8" t="s">
        <v>106</v>
      </c>
      <c r="J29" s="5" t="str">
        <f>_xlfn.CONCAT(G29," ",I29)</f>
        <v>Toaster Hamilton</v>
      </c>
      <c r="K29" s="8">
        <v>40</v>
      </c>
      <c r="L29" s="18">
        <v>40</v>
      </c>
      <c r="M29" s="5">
        <f t="shared" si="0"/>
        <v>40</v>
      </c>
      <c r="N29" s="8">
        <v>10</v>
      </c>
      <c r="O29" s="8" t="s">
        <v>36</v>
      </c>
      <c r="P29" t="str">
        <f t="shared" si="1"/>
        <v>Kitchen</v>
      </c>
    </row>
    <row r="30" spans="1:16" ht="15.75" customHeight="1" x14ac:dyDescent="0.25">
      <c r="A30" s="5" t="s">
        <v>107</v>
      </c>
      <c r="B30" s="11">
        <v>24</v>
      </c>
      <c r="C30" s="11" t="s">
        <v>121</v>
      </c>
      <c r="D30" s="11" t="str">
        <f>B30&amp;"-"&amp;C30</f>
        <v>24-MAY</v>
      </c>
      <c r="E30" s="11" t="str">
        <f>C30&amp;"-"&amp;D30</f>
        <v>MAY-24-MAY</v>
      </c>
      <c r="F30" s="11" t="s">
        <v>135</v>
      </c>
      <c r="G30" s="5" t="s">
        <v>92</v>
      </c>
      <c r="H30" s="5" t="s">
        <v>92</v>
      </c>
      <c r="I30" s="5" t="s">
        <v>108</v>
      </c>
      <c r="J30" s="5" t="str">
        <f>_xlfn.CONCAT(G30," ",I30)</f>
        <v>Fitness Tracker Garmin</v>
      </c>
      <c r="K30" s="5">
        <v>130</v>
      </c>
      <c r="L30" s="17">
        <v>130</v>
      </c>
      <c r="M30" s="5">
        <f t="shared" si="0"/>
        <v>130</v>
      </c>
      <c r="N30" s="5">
        <v>5</v>
      </c>
      <c r="O30" s="5" t="s">
        <v>28</v>
      </c>
      <c r="P30" t="str">
        <f t="shared" si="1"/>
        <v>Electronics</v>
      </c>
    </row>
    <row r="31" spans="1:16" ht="15.75" customHeight="1" x14ac:dyDescent="0.25">
      <c r="A31" s="8" t="s">
        <v>109</v>
      </c>
      <c r="B31" s="9">
        <v>2</v>
      </c>
      <c r="C31" s="9" t="s">
        <v>128</v>
      </c>
      <c r="D31" s="11" t="str">
        <f>B31&amp;"-"&amp;C31</f>
        <v>2-DEC</v>
      </c>
      <c r="E31" s="11" t="str">
        <f>C31&amp;"-"&amp;D31</f>
        <v>DEC-2-DEC</v>
      </c>
      <c r="F31" s="9" t="s">
        <v>135</v>
      </c>
      <c r="G31" s="8" t="s">
        <v>110</v>
      </c>
      <c r="H31" s="8" t="s">
        <v>110</v>
      </c>
      <c r="I31" s="8" t="s">
        <v>111</v>
      </c>
      <c r="J31" s="5" t="str">
        <f>_xlfn.CONCAT(G31," ",I31)</f>
        <v>Jeans Levi's</v>
      </c>
      <c r="K31" s="8">
        <v>50</v>
      </c>
      <c r="L31" s="18">
        <v>50</v>
      </c>
      <c r="M31" s="5">
        <f t="shared" si="0"/>
        <v>50</v>
      </c>
      <c r="N31" s="8">
        <v>50</v>
      </c>
      <c r="O31" s="8" t="s">
        <v>32</v>
      </c>
      <c r="P31" t="str">
        <f t="shared" si="1"/>
        <v>Fashion</v>
      </c>
    </row>
    <row r="32" spans="1:16" ht="15.75" customHeight="1" x14ac:dyDescent="0.25">
      <c r="A32" s="8" t="s">
        <v>112</v>
      </c>
      <c r="B32" s="9">
        <v>9</v>
      </c>
      <c r="C32" s="9" t="s">
        <v>123</v>
      </c>
      <c r="D32" s="11" t="str">
        <f>B32&amp;"-"&amp;C32</f>
        <v>9-JUL</v>
      </c>
      <c r="E32" s="11" t="str">
        <f>C32&amp;"-"&amp;D32</f>
        <v>JUL-9-JUL</v>
      </c>
      <c r="F32" s="9" t="s">
        <v>141</v>
      </c>
      <c r="G32" s="8" t="s">
        <v>113</v>
      </c>
      <c r="H32" s="8" t="s">
        <v>113</v>
      </c>
      <c r="I32" s="8" t="s">
        <v>114</v>
      </c>
      <c r="J32" s="5" t="str">
        <f>_xlfn.CONCAT(G32," ",I32)</f>
        <v>Watch Casio</v>
      </c>
      <c r="K32" s="8">
        <v>100</v>
      </c>
      <c r="L32" s="18">
        <v>100</v>
      </c>
      <c r="M32" s="5">
        <f t="shared" si="0"/>
        <v>100</v>
      </c>
      <c r="N32" s="8">
        <v>20</v>
      </c>
      <c r="O32" s="8" t="s">
        <v>74</v>
      </c>
      <c r="P32" t="str">
        <f t="shared" si="1"/>
        <v>Accessories</v>
      </c>
    </row>
    <row r="33" spans="1:5" ht="15.75" customHeight="1" x14ac:dyDescent="0.25"/>
    <row r="34" spans="1:5" ht="15.75" customHeight="1" x14ac:dyDescent="0.25">
      <c r="A34" s="12"/>
      <c r="B34" s="10"/>
      <c r="C34" s="10"/>
      <c r="D34" s="10"/>
      <c r="E34" s="10"/>
    </row>
    <row r="35" spans="1:5" ht="15.75" customHeight="1" x14ac:dyDescent="0.25">
      <c r="B35" s="10"/>
      <c r="C35" s="10"/>
      <c r="D35" s="10"/>
      <c r="E35" s="10"/>
    </row>
    <row r="36" spans="1:5" ht="15.75" customHeight="1" x14ac:dyDescent="0.25">
      <c r="B36" s="10"/>
      <c r="C36" s="10"/>
      <c r="D36" s="10"/>
      <c r="E36" s="10"/>
    </row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K2:K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32">
    <cfRule type="cellIs" dxfId="0" priority="1" operator="equal">
      <formula>"Electronics"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AIREENA ANTONY</cp:lastModifiedBy>
  <dcterms:modified xsi:type="dcterms:W3CDTF">2026-08-26T19:51:37Z</dcterms:modified>
</cp:coreProperties>
</file>